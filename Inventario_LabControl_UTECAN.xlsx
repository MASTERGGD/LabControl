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 Activos" sheetId="1" state="visible" r:id="rId1"/>
    <sheet xmlns:r="http://schemas.openxmlformats.org/officeDocument/2006/relationships" name="Ubicaciones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Catálogos" sheetId="4" state="visible" r:id="rId4"/>
  </sheets>
  <definedNames>
    <definedName name="_xlnm._FilterDatabase" localSheetId="0" hidden="1">'Inventario Activos'!$A$3:$R$23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-mm-dd"/>
    <numFmt numFmtId="166" formatCode="DD/MM/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color rgb="002E75B6"/>
      <sz val="9"/>
    </font>
    <font>
      <name val="Arial"/>
      <b val="1"/>
      <sz val="9"/>
    </font>
    <font>
      <name val="Arial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EF2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164" fontId="4" fillId="4" borderId="1" applyAlignment="1" pivotButton="0" quotePrefix="0" xfId="0">
      <alignment vertical="center"/>
    </xf>
    <xf numFmtId="166" fontId="4" fillId="4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166" fontId="4" fillId="0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3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6" customWidth="1" min="2" max="2"/>
    <col width="18" customWidth="1" min="3" max="3"/>
    <col width="14" customWidth="1" min="4" max="4"/>
    <col width="16" customWidth="1" min="5" max="5"/>
    <col width="18" customWidth="1" min="6" max="6"/>
    <col width="22" customWidth="1" min="7" max="7"/>
    <col width="22" customWidth="1" min="8" max="8"/>
    <col width="22" customWidth="1" min="9" max="9"/>
    <col width="14" customWidth="1" min="10" max="10"/>
    <col width="12" customWidth="1" min="11" max="11"/>
    <col width="16" customWidth="1" min="12" max="12"/>
    <col width="14" customWidth="1" min="13" max="13"/>
    <col width="9" customWidth="1" min="14" max="14"/>
    <col width="9" customWidth="1" min="15" max="15"/>
    <col width="13" customWidth="1" min="16" max="16"/>
    <col width="14" customWidth="1" min="17" max="17"/>
    <col width="30" customWidth="1" min="18" max="18"/>
  </cols>
  <sheetData>
    <row r="1" ht="30" customHeight="1">
      <c r="A1" s="1" t="inlineStr">
        <is>
          <t>INVENTARIO PATRIMONIAL – SIGA LabControl  |  UTECAN  |  Fecha: 04/06/2026</t>
        </is>
      </c>
    </row>
    <row r="2" ht="18" customHeight="1">
      <c r="A2" s="2" t="inlineStr">
        <is>
          <t>Módulo de Inventario – Activos registrados en el sistema</t>
        </is>
      </c>
    </row>
    <row r="3" ht="32" customHeight="1">
      <c r="A3" s="3" t="inlineStr">
        <is>
          <t>Código
Inventario</t>
        </is>
      </c>
      <c r="B3" s="3" t="inlineStr">
        <is>
          <t>Nombre / Descripción</t>
        </is>
      </c>
      <c r="C3" s="3" t="inlineStr">
        <is>
          <t>Categoría</t>
        </is>
      </c>
      <c r="D3" s="3" t="inlineStr">
        <is>
          <t>Marca</t>
        </is>
      </c>
      <c r="E3" s="3" t="inlineStr">
        <is>
          <t>Modelo</t>
        </is>
      </c>
      <c r="F3" s="3" t="inlineStr">
        <is>
          <t>N° Serie</t>
        </is>
      </c>
      <c r="G3" s="3" t="inlineStr">
        <is>
          <t>Laboratorio / Área</t>
        </is>
      </c>
      <c r="H3" s="3" t="inlineStr">
        <is>
          <t>Ubicación</t>
        </is>
      </c>
      <c r="I3" s="3" t="inlineStr">
        <is>
          <t>Responsable</t>
        </is>
      </c>
      <c r="J3" s="3" t="inlineStr">
        <is>
          <t>Alcance</t>
        </is>
      </c>
      <c r="K3" s="3" t="inlineStr">
        <is>
          <t>Tipo</t>
        </is>
      </c>
      <c r="L3" s="3" t="inlineStr">
        <is>
          <t>Estado</t>
        </is>
      </c>
      <c r="M3" s="3" t="inlineStr">
        <is>
          <t>Estado
Admin</t>
        </is>
      </c>
      <c r="N3" s="3" t="inlineStr">
        <is>
          <t>Cantidad</t>
        </is>
      </c>
      <c r="O3" s="3" t="inlineStr">
        <is>
          <t>Unidad</t>
        </is>
      </c>
      <c r="P3" s="3" t="inlineStr">
        <is>
          <t>Valor ($)</t>
        </is>
      </c>
      <c r="Q3" s="3" t="inlineStr">
        <is>
          <t>Fecha
Adquisición</t>
        </is>
      </c>
      <c r="R3" s="3" t="inlineStr">
        <is>
          <t>Observaciones</t>
        </is>
      </c>
    </row>
    <row r="4" ht="15" customHeight="1">
      <c r="A4" s="4" t="inlineStr">
        <is>
          <t>INV-LAB01-001</t>
        </is>
      </c>
      <c r="B4" s="5" t="inlineStr">
        <is>
          <t>Computadora de escritorio</t>
        </is>
      </c>
      <c r="C4" s="5" t="inlineStr">
        <is>
          <t>CÓMPUTO</t>
        </is>
      </c>
      <c r="D4" s="5" t="inlineStr">
        <is>
          <t>Dell</t>
        </is>
      </c>
      <c r="E4" s="5" t="inlineStr">
        <is>
          <t>OptiPlex 7010</t>
        </is>
      </c>
      <c r="F4" s="5" t="inlineStr">
        <is>
          <t>DL7010-A001</t>
        </is>
      </c>
      <c r="G4" s="5" t="inlineStr">
        <is>
          <t>Lab. Cómputo 1</t>
        </is>
      </c>
      <c r="H4" s="5" t="inlineStr">
        <is>
          <t>Planta Baja – Edif. A</t>
        </is>
      </c>
      <c r="I4" s="5" t="inlineStr">
        <is>
          <t>García Martínez, Juan</t>
        </is>
      </c>
      <c r="J4" s="5" t="inlineStr">
        <is>
          <t>LABORATORIO</t>
        </is>
      </c>
      <c r="K4" s="5" t="inlineStr">
        <is>
          <t>ACTIVO</t>
        </is>
      </c>
      <c r="L4" s="6" t="inlineStr">
        <is>
          <t>OPERATIVO</t>
        </is>
      </c>
      <c r="M4" s="5" t="inlineStr">
        <is>
          <t>VALIDADO</t>
        </is>
      </c>
      <c r="N4" s="5" t="n">
        <v>1</v>
      </c>
      <c r="O4" s="5" t="inlineStr">
        <is>
          <t>PIEZA</t>
        </is>
      </c>
      <c r="P4" s="7" t="n">
        <v>18500</v>
      </c>
      <c r="Q4" s="8" t="n">
        <v>44635</v>
      </c>
      <c r="R4" s="5" t="inlineStr"/>
    </row>
    <row r="5" ht="15" customHeight="1">
      <c r="A5" s="9" t="inlineStr">
        <is>
          <t>INV-LAB01-002</t>
        </is>
      </c>
      <c r="B5" s="10" t="inlineStr">
        <is>
          <t>Computadora de escritorio</t>
        </is>
      </c>
      <c r="C5" s="10" t="inlineStr">
        <is>
          <t>CÓMPUTO</t>
        </is>
      </c>
      <c r="D5" s="10" t="inlineStr">
        <is>
          <t>Dell</t>
        </is>
      </c>
      <c r="E5" s="10" t="inlineStr">
        <is>
          <t>OptiPlex 7010</t>
        </is>
      </c>
      <c r="F5" s="10" t="inlineStr">
        <is>
          <t>DL7010-A002</t>
        </is>
      </c>
      <c r="G5" s="10" t="inlineStr">
        <is>
          <t>Lab. Cómputo 1</t>
        </is>
      </c>
      <c r="H5" s="10" t="inlineStr">
        <is>
          <t>Planta Baja – Edif. A</t>
        </is>
      </c>
      <c r="I5" s="10" t="inlineStr">
        <is>
          <t>García Martínez, Juan</t>
        </is>
      </c>
      <c r="J5" s="10" t="inlineStr">
        <is>
          <t>LABORATORIO</t>
        </is>
      </c>
      <c r="K5" s="10" t="inlineStr">
        <is>
          <t>ACTIVO</t>
        </is>
      </c>
      <c r="L5" s="6" t="inlineStr">
        <is>
          <t>OPERATIVO</t>
        </is>
      </c>
      <c r="M5" s="10" t="inlineStr">
        <is>
          <t>VALIDADO</t>
        </is>
      </c>
      <c r="N5" s="10" t="n">
        <v>1</v>
      </c>
      <c r="O5" s="10" t="inlineStr">
        <is>
          <t>PIEZA</t>
        </is>
      </c>
      <c r="P5" s="11" t="n">
        <v>18500</v>
      </c>
      <c r="Q5" s="12" t="n">
        <v>44635</v>
      </c>
      <c r="R5" s="10" t="inlineStr"/>
    </row>
    <row r="6" ht="15" customHeight="1">
      <c r="A6" s="4" t="inlineStr">
        <is>
          <t>INV-LAB01-003</t>
        </is>
      </c>
      <c r="B6" s="5" t="inlineStr">
        <is>
          <t>Computadora de escritorio</t>
        </is>
      </c>
      <c r="C6" s="5" t="inlineStr">
        <is>
          <t>CÓMPUTO</t>
        </is>
      </c>
      <c r="D6" s="5" t="inlineStr">
        <is>
          <t>HP</t>
        </is>
      </c>
      <c r="E6" s="5" t="inlineStr">
        <is>
          <t>ProDesk 400 G7</t>
        </is>
      </c>
      <c r="F6" s="5" t="inlineStr">
        <is>
          <t>HP400G7-003</t>
        </is>
      </c>
      <c r="G6" s="5" t="inlineStr">
        <is>
          <t>Lab. Cómputo 1</t>
        </is>
      </c>
      <c r="H6" s="5" t="inlineStr">
        <is>
          <t>Planta Baja – Edif. A</t>
        </is>
      </c>
      <c r="I6" s="5" t="inlineStr">
        <is>
          <t>García Martínez, Juan</t>
        </is>
      </c>
      <c r="J6" s="5" t="inlineStr">
        <is>
          <t>LABORATORIO</t>
        </is>
      </c>
      <c r="K6" s="5" t="inlineStr">
        <is>
          <t>ACTIVO</t>
        </is>
      </c>
      <c r="L6" s="13" t="inlineStr">
        <is>
          <t>MANTENIMIENTO</t>
        </is>
      </c>
      <c r="M6" s="5" t="inlineStr">
        <is>
          <t>VALIDADO</t>
        </is>
      </c>
      <c r="N6" s="5" t="n">
        <v>1</v>
      </c>
      <c r="O6" s="5" t="inlineStr">
        <is>
          <t>PIEZA</t>
        </is>
      </c>
      <c r="P6" s="7" t="n">
        <v>17200</v>
      </c>
      <c r="Q6" s="8" t="n">
        <v>44635</v>
      </c>
      <c r="R6" s="5" t="inlineStr">
        <is>
          <t>En revisión de software</t>
        </is>
      </c>
    </row>
    <row r="7" ht="15" customHeight="1">
      <c r="A7" s="9" t="inlineStr">
        <is>
          <t>INV-LAB01-004</t>
        </is>
      </c>
      <c r="B7" s="10" t="inlineStr">
        <is>
          <t>Monitor 24"</t>
        </is>
      </c>
      <c r="C7" s="10" t="inlineStr">
        <is>
          <t>CÓMPUTO</t>
        </is>
      </c>
      <c r="D7" s="10" t="inlineStr">
        <is>
          <t>LG</t>
        </is>
      </c>
      <c r="E7" s="10" t="inlineStr">
        <is>
          <t>24MK430H</t>
        </is>
      </c>
      <c r="F7" s="10" t="inlineStr">
        <is>
          <t>LG24MK-004</t>
        </is>
      </c>
      <c r="G7" s="10" t="inlineStr">
        <is>
          <t>Lab. Cómputo 1</t>
        </is>
      </c>
      <c r="H7" s="10" t="inlineStr">
        <is>
          <t>Planta Baja – Edif. A</t>
        </is>
      </c>
      <c r="I7" s="10" t="inlineStr">
        <is>
          <t>García Martínez, Juan</t>
        </is>
      </c>
      <c r="J7" s="10" t="inlineStr">
        <is>
          <t>LABORATORIO</t>
        </is>
      </c>
      <c r="K7" s="10" t="inlineStr">
        <is>
          <t>ACTIVO</t>
        </is>
      </c>
      <c r="L7" s="6" t="inlineStr">
        <is>
          <t>OPERATIVO</t>
        </is>
      </c>
      <c r="M7" s="10" t="inlineStr">
        <is>
          <t>VALIDADO</t>
        </is>
      </c>
      <c r="N7" s="10" t="n">
        <v>1</v>
      </c>
      <c r="O7" s="10" t="inlineStr">
        <is>
          <t>PIEZA</t>
        </is>
      </c>
      <c r="P7" s="11" t="n">
        <v>4800</v>
      </c>
      <c r="Q7" s="12" t="n">
        <v>44635</v>
      </c>
      <c r="R7" s="10" t="inlineStr"/>
    </row>
    <row r="8" ht="15" customHeight="1">
      <c r="A8" s="4" t="inlineStr">
        <is>
          <t>INV-LAB01-005</t>
        </is>
      </c>
      <c r="B8" s="5" t="inlineStr">
        <is>
          <t>Monitor 24"</t>
        </is>
      </c>
      <c r="C8" s="5" t="inlineStr">
        <is>
          <t>CÓMPUTO</t>
        </is>
      </c>
      <c r="D8" s="5" t="inlineStr">
        <is>
          <t>LG</t>
        </is>
      </c>
      <c r="E8" s="5" t="inlineStr">
        <is>
          <t>24MK430H</t>
        </is>
      </c>
      <c r="F8" s="5" t="inlineStr">
        <is>
          <t>LG24MK-005</t>
        </is>
      </c>
      <c r="G8" s="5" t="inlineStr">
        <is>
          <t>Lab. Cómputo 1</t>
        </is>
      </c>
      <c r="H8" s="5" t="inlineStr">
        <is>
          <t>Planta Baja – Edif. A</t>
        </is>
      </c>
      <c r="I8" s="5" t="inlineStr">
        <is>
          <t>García Martínez, Juan</t>
        </is>
      </c>
      <c r="J8" s="5" t="inlineStr">
        <is>
          <t>LABORATORIO</t>
        </is>
      </c>
      <c r="K8" s="5" t="inlineStr">
        <is>
          <t>ACTIVO</t>
        </is>
      </c>
      <c r="L8" s="14" t="inlineStr">
        <is>
          <t>FUERA DE SERVICIO</t>
        </is>
      </c>
      <c r="M8" s="5" t="inlineStr">
        <is>
          <t>OBSERVADO</t>
        </is>
      </c>
      <c r="N8" s="5" t="n">
        <v>1</v>
      </c>
      <c r="O8" s="5" t="inlineStr">
        <is>
          <t>PIEZA</t>
        </is>
      </c>
      <c r="P8" s="7" t="n">
        <v>4800</v>
      </c>
      <c r="Q8" s="8" t="n">
        <v>44635</v>
      </c>
      <c r="R8" s="5" t="inlineStr">
        <is>
          <t>Pantalla dañada</t>
        </is>
      </c>
    </row>
    <row r="9" ht="15" customHeight="1">
      <c r="A9" s="9" t="inlineStr">
        <is>
          <t>INV-LAB02-001</t>
        </is>
      </c>
      <c r="B9" s="10" t="inlineStr">
        <is>
          <t>Proyector educativo</t>
        </is>
      </c>
      <c r="C9" s="10" t="inlineStr">
        <is>
          <t>AUDIOVISUAL</t>
        </is>
      </c>
      <c r="D9" s="10" t="inlineStr">
        <is>
          <t>Epson</t>
        </is>
      </c>
      <c r="E9" s="10" t="inlineStr">
        <is>
          <t>PowerLite X49</t>
        </is>
      </c>
      <c r="F9" s="10" t="inlineStr">
        <is>
          <t>EP-X49-001</t>
        </is>
      </c>
      <c r="G9" s="10" t="inlineStr">
        <is>
          <t>Lab. Cómputo 2</t>
        </is>
      </c>
      <c r="H9" s="10" t="inlineStr">
        <is>
          <t>Planta Alta – Edif. A</t>
        </is>
      </c>
      <c r="I9" s="10" t="inlineStr">
        <is>
          <t>López Hernández, Ana</t>
        </is>
      </c>
      <c r="J9" s="10" t="inlineStr">
        <is>
          <t>LABORATORIO</t>
        </is>
      </c>
      <c r="K9" s="10" t="inlineStr">
        <is>
          <t>ACTIVO</t>
        </is>
      </c>
      <c r="L9" s="6" t="inlineStr">
        <is>
          <t>OPERATIVO</t>
        </is>
      </c>
      <c r="M9" s="10" t="inlineStr">
        <is>
          <t>VALIDADO</t>
        </is>
      </c>
      <c r="N9" s="10" t="n">
        <v>1</v>
      </c>
      <c r="O9" s="10" t="inlineStr">
        <is>
          <t>PIEZA</t>
        </is>
      </c>
      <c r="P9" s="11" t="n">
        <v>12300</v>
      </c>
      <c r="Q9" s="12" t="n">
        <v>44428</v>
      </c>
      <c r="R9" s="10" t="inlineStr"/>
    </row>
    <row r="10" ht="15" customHeight="1">
      <c r="A10" s="4" t="inlineStr">
        <is>
          <t>INV-LAB02-002</t>
        </is>
      </c>
      <c r="B10" s="5" t="inlineStr">
        <is>
          <t>Computadora portátil</t>
        </is>
      </c>
      <c r="C10" s="5" t="inlineStr">
        <is>
          <t>CÓMPUTO</t>
        </is>
      </c>
      <c r="D10" s="5" t="inlineStr">
        <is>
          <t>Lenovo</t>
        </is>
      </c>
      <c r="E10" s="5" t="inlineStr">
        <is>
          <t>ThinkBook 15</t>
        </is>
      </c>
      <c r="F10" s="5" t="inlineStr">
        <is>
          <t>LN-TB15-002</t>
        </is>
      </c>
      <c r="G10" s="5" t="inlineStr">
        <is>
          <t>Lab. Cómputo 2</t>
        </is>
      </c>
      <c r="H10" s="5" t="inlineStr">
        <is>
          <t>Planta Alta – Edif. A</t>
        </is>
      </c>
      <c r="I10" s="5" t="inlineStr">
        <is>
          <t>López Hernández, Ana</t>
        </is>
      </c>
      <c r="J10" s="5" t="inlineStr">
        <is>
          <t>LABORATORIO</t>
        </is>
      </c>
      <c r="K10" s="5" t="inlineStr">
        <is>
          <t>ACTIVO</t>
        </is>
      </c>
      <c r="L10" s="6" t="inlineStr">
        <is>
          <t>OPERATIVO</t>
        </is>
      </c>
      <c r="M10" s="5" t="inlineStr">
        <is>
          <t>VALIDADO</t>
        </is>
      </c>
      <c r="N10" s="5" t="n">
        <v>1</v>
      </c>
      <c r="O10" s="5" t="inlineStr">
        <is>
          <t>PIEZA</t>
        </is>
      </c>
      <c r="P10" s="7" t="n">
        <v>22000</v>
      </c>
      <c r="Q10" s="8" t="n">
        <v>44936</v>
      </c>
      <c r="R10" s="5" t="inlineStr"/>
    </row>
    <row r="11" ht="15" customHeight="1">
      <c r="A11" s="9" t="inlineStr">
        <is>
          <t>INV-LAB02-003</t>
        </is>
      </c>
      <c r="B11" s="10" t="inlineStr">
        <is>
          <t>Switch 24 puertos</t>
        </is>
      </c>
      <c r="C11" s="10" t="inlineStr">
        <is>
          <t>RED</t>
        </is>
      </c>
      <c r="D11" s="10" t="inlineStr">
        <is>
          <t>Cisco</t>
        </is>
      </c>
      <c r="E11" s="10" t="inlineStr">
        <is>
          <t>SG350-28</t>
        </is>
      </c>
      <c r="F11" s="10" t="inlineStr">
        <is>
          <t>CS-SG350-003</t>
        </is>
      </c>
      <c r="G11" s="10" t="inlineStr">
        <is>
          <t>Lab. Cómputo 2</t>
        </is>
      </c>
      <c r="H11" s="10" t="inlineStr">
        <is>
          <t>Rack de red – Edif. A</t>
        </is>
      </c>
      <c r="I11" s="10" t="inlineStr">
        <is>
          <t>López Hernández, Ana</t>
        </is>
      </c>
      <c r="J11" s="10" t="inlineStr">
        <is>
          <t>LABORATORIO</t>
        </is>
      </c>
      <c r="K11" s="10" t="inlineStr">
        <is>
          <t>ACTIVO</t>
        </is>
      </c>
      <c r="L11" s="6" t="inlineStr">
        <is>
          <t>OPERATIVO</t>
        </is>
      </c>
      <c r="M11" s="10" t="inlineStr">
        <is>
          <t>VALIDADO</t>
        </is>
      </c>
      <c r="N11" s="10" t="n">
        <v>1</v>
      </c>
      <c r="O11" s="10" t="inlineStr">
        <is>
          <t>PIEZA</t>
        </is>
      </c>
      <c r="P11" s="11" t="n">
        <v>8900</v>
      </c>
      <c r="Q11" s="12" t="n">
        <v>44428</v>
      </c>
      <c r="R11" s="10" t="inlineStr"/>
    </row>
    <row r="12" ht="15" customHeight="1">
      <c r="A12" s="4" t="inlineStr">
        <is>
          <t>INV-LAB03-001</t>
        </is>
      </c>
      <c r="B12" s="5" t="inlineStr">
        <is>
          <t>Multímetro digital</t>
        </is>
      </c>
      <c r="C12" s="5" t="inlineStr">
        <is>
          <t>INSTRUMENTACIÓN</t>
        </is>
      </c>
      <c r="D12" s="5" t="inlineStr">
        <is>
          <t>Fluke</t>
        </is>
      </c>
      <c r="E12" s="5" t="inlineStr">
        <is>
          <t>115</t>
        </is>
      </c>
      <c r="F12" s="5" t="inlineStr">
        <is>
          <t>FL115-001</t>
        </is>
      </c>
      <c r="G12" s="5" t="inlineStr">
        <is>
          <t>Lab. Electrónica</t>
        </is>
      </c>
      <c r="H12" s="5" t="inlineStr">
        <is>
          <t>Taller – Edif. B</t>
        </is>
      </c>
      <c r="I12" s="5" t="inlineStr">
        <is>
          <t>Ramírez Torres, Carlos</t>
        </is>
      </c>
      <c r="J12" s="5" t="inlineStr">
        <is>
          <t>LABORATORIO</t>
        </is>
      </c>
      <c r="K12" s="5" t="inlineStr">
        <is>
          <t>ACTIVO</t>
        </is>
      </c>
      <c r="L12" s="6" t="inlineStr">
        <is>
          <t>OPERATIVO</t>
        </is>
      </c>
      <c r="M12" s="5" t="inlineStr">
        <is>
          <t>VALIDADO</t>
        </is>
      </c>
      <c r="N12" s="5" t="n">
        <v>1</v>
      </c>
      <c r="O12" s="5" t="inlineStr">
        <is>
          <t>PIEZA</t>
        </is>
      </c>
      <c r="P12" s="7" t="n">
        <v>3200</v>
      </c>
      <c r="Q12" s="8" t="n">
        <v>43987</v>
      </c>
      <c r="R12" s="5" t="inlineStr"/>
    </row>
    <row r="13" ht="15" customHeight="1">
      <c r="A13" s="9" t="inlineStr">
        <is>
          <t>INV-LAB03-002</t>
        </is>
      </c>
      <c r="B13" s="10" t="inlineStr">
        <is>
          <t>Multímetro digital</t>
        </is>
      </c>
      <c r="C13" s="10" t="inlineStr">
        <is>
          <t>INSTRUMENTACIÓN</t>
        </is>
      </c>
      <c r="D13" s="10" t="inlineStr">
        <is>
          <t>Fluke</t>
        </is>
      </c>
      <c r="E13" s="10" t="inlineStr">
        <is>
          <t>115</t>
        </is>
      </c>
      <c r="F13" s="10" t="inlineStr">
        <is>
          <t>FL115-002</t>
        </is>
      </c>
      <c r="G13" s="10" t="inlineStr">
        <is>
          <t>Lab. Electrónica</t>
        </is>
      </c>
      <c r="H13" s="10" t="inlineStr">
        <is>
          <t>Taller – Edif. B</t>
        </is>
      </c>
      <c r="I13" s="10" t="inlineStr">
        <is>
          <t>Ramírez Torres, Carlos</t>
        </is>
      </c>
      <c r="J13" s="10" t="inlineStr">
        <is>
          <t>LABORATORIO</t>
        </is>
      </c>
      <c r="K13" s="10" t="inlineStr">
        <is>
          <t>ACTIVO</t>
        </is>
      </c>
      <c r="L13" s="6" t="inlineStr">
        <is>
          <t>OPERATIVO</t>
        </is>
      </c>
      <c r="M13" s="10" t="inlineStr">
        <is>
          <t>VALIDADO</t>
        </is>
      </c>
      <c r="N13" s="10" t="n">
        <v>1</v>
      </c>
      <c r="O13" s="10" t="inlineStr">
        <is>
          <t>PIEZA</t>
        </is>
      </c>
      <c r="P13" s="11" t="n">
        <v>3200</v>
      </c>
      <c r="Q13" s="12" t="n">
        <v>43987</v>
      </c>
      <c r="R13" s="10" t="inlineStr"/>
    </row>
    <row r="14" ht="15" customHeight="1">
      <c r="A14" s="4" t="inlineStr">
        <is>
          <t>INV-LAB03-003</t>
        </is>
      </c>
      <c r="B14" s="5" t="inlineStr">
        <is>
          <t>Osciloscopio 2 canales</t>
        </is>
      </c>
      <c r="C14" s="5" t="inlineStr">
        <is>
          <t>INSTRUMENTACIÓN</t>
        </is>
      </c>
      <c r="D14" s="5" t="inlineStr">
        <is>
          <t>Rigol</t>
        </is>
      </c>
      <c r="E14" s="5" t="inlineStr">
        <is>
          <t>DS1054Z</t>
        </is>
      </c>
      <c r="F14" s="5" t="inlineStr">
        <is>
          <t>RG-DS1054-003</t>
        </is>
      </c>
      <c r="G14" s="5" t="inlineStr">
        <is>
          <t>Lab. Electrónica</t>
        </is>
      </c>
      <c r="H14" s="5" t="inlineStr">
        <is>
          <t>Taller – Edif. B</t>
        </is>
      </c>
      <c r="I14" s="5" t="inlineStr">
        <is>
          <t>Ramírez Torres, Carlos</t>
        </is>
      </c>
      <c r="J14" s="5" t="inlineStr">
        <is>
          <t>LABORATORIO</t>
        </is>
      </c>
      <c r="K14" s="5" t="inlineStr">
        <is>
          <t>ACTIVO</t>
        </is>
      </c>
      <c r="L14" s="6" t="inlineStr">
        <is>
          <t>OPERATIVO</t>
        </is>
      </c>
      <c r="M14" s="5" t="inlineStr">
        <is>
          <t>VALIDADO</t>
        </is>
      </c>
      <c r="N14" s="5" t="n">
        <v>1</v>
      </c>
      <c r="O14" s="5" t="inlineStr">
        <is>
          <t>PIEZA</t>
        </is>
      </c>
      <c r="P14" s="7" t="n">
        <v>9500</v>
      </c>
      <c r="Q14" s="8" t="n">
        <v>43987</v>
      </c>
      <c r="R14" s="5" t="inlineStr"/>
    </row>
    <row r="15" ht="15" customHeight="1">
      <c r="A15" s="9" t="inlineStr">
        <is>
          <t>INV-LAB03-004</t>
        </is>
      </c>
      <c r="B15" s="10" t="inlineStr">
        <is>
          <t>Fuente de alimentación</t>
        </is>
      </c>
      <c r="C15" s="10" t="inlineStr">
        <is>
          <t>INSTRUMENTACIÓN</t>
        </is>
      </c>
      <c r="D15" s="10" t="inlineStr">
        <is>
          <t>BK Precision</t>
        </is>
      </c>
      <c r="E15" s="10" t="inlineStr">
        <is>
          <t>1685B</t>
        </is>
      </c>
      <c r="F15" s="10" t="inlineStr">
        <is>
          <t>BK1685-004</t>
        </is>
      </c>
      <c r="G15" s="10" t="inlineStr">
        <is>
          <t>Lab. Electrónica</t>
        </is>
      </c>
      <c r="H15" s="10" t="inlineStr">
        <is>
          <t>Taller – Edif. B</t>
        </is>
      </c>
      <c r="I15" s="10" t="inlineStr">
        <is>
          <t>Ramírez Torres, Carlos</t>
        </is>
      </c>
      <c r="J15" s="10" t="inlineStr">
        <is>
          <t>LABORATORIO</t>
        </is>
      </c>
      <c r="K15" s="10" t="inlineStr">
        <is>
          <t>ACTIVO</t>
        </is>
      </c>
      <c r="L15" s="13" t="inlineStr">
        <is>
          <t>MANTENIMIENTO</t>
        </is>
      </c>
      <c r="M15" s="10" t="inlineStr">
        <is>
          <t>VALIDADO</t>
        </is>
      </c>
      <c r="N15" s="10" t="n">
        <v>1</v>
      </c>
      <c r="O15" s="10" t="inlineStr">
        <is>
          <t>PIEZA</t>
        </is>
      </c>
      <c r="P15" s="11" t="n">
        <v>4100</v>
      </c>
      <c r="Q15" s="12" t="n">
        <v>43987</v>
      </c>
      <c r="R15" s="10" t="inlineStr">
        <is>
          <t>Calibración pendiente</t>
        </is>
      </c>
    </row>
    <row r="16" ht="15" customHeight="1">
      <c r="A16" s="4" t="inlineStr">
        <is>
          <t>INV-LAB03-005</t>
        </is>
      </c>
      <c r="B16" s="5" t="inlineStr">
        <is>
          <t>Protoboard grande</t>
        </is>
      </c>
      <c r="C16" s="5" t="inlineStr">
        <is>
          <t>CONSUMIBLE</t>
        </is>
      </c>
      <c r="D16" s="5" t="inlineStr">
        <is>
          <t>Generic</t>
        </is>
      </c>
      <c r="E16" s="5" t="inlineStr">
        <is>
          <t>—</t>
        </is>
      </c>
      <c r="F16" s="5" t="inlineStr">
        <is>
          <t>—</t>
        </is>
      </c>
      <c r="G16" s="5" t="inlineStr">
        <is>
          <t>Lab. Electrónica</t>
        </is>
      </c>
      <c r="H16" s="5" t="inlineStr">
        <is>
          <t>Taller – Edif. B</t>
        </is>
      </c>
      <c r="I16" s="5" t="inlineStr">
        <is>
          <t>Ramírez Torres, Carlos</t>
        </is>
      </c>
      <c r="J16" s="5" t="inlineStr">
        <is>
          <t>LABORATORIO</t>
        </is>
      </c>
      <c r="K16" s="5" t="inlineStr">
        <is>
          <t>CONSUMIBLE</t>
        </is>
      </c>
      <c r="L16" s="6" t="inlineStr">
        <is>
          <t>OPERATIVO</t>
        </is>
      </c>
      <c r="M16" s="5" t="inlineStr">
        <is>
          <t>VALIDADO</t>
        </is>
      </c>
      <c r="N16" s="5" t="n">
        <v>10</v>
      </c>
      <c r="O16" s="5" t="inlineStr">
        <is>
          <t>PIEZA</t>
        </is>
      </c>
      <c r="P16" s="7" t="n">
        <v>250</v>
      </c>
      <c r="Q16" s="8" t="n">
        <v>45170</v>
      </c>
      <c r="R16" s="5" t="inlineStr"/>
    </row>
    <row r="17" ht="15" customHeight="1">
      <c r="A17" s="9" t="inlineStr">
        <is>
          <t>INV-DEPT001</t>
        </is>
      </c>
      <c r="B17" s="10" t="inlineStr">
        <is>
          <t>Impresora láser</t>
        </is>
      </c>
      <c r="C17" s="10" t="inlineStr">
        <is>
          <t>IMPRESIÓN</t>
        </is>
      </c>
      <c r="D17" s="10" t="inlineStr">
        <is>
          <t>HP</t>
        </is>
      </c>
      <c r="E17" s="10" t="inlineStr">
        <is>
          <t>LaserJet Pro M404n</t>
        </is>
      </c>
      <c r="F17" s="10" t="inlineStr">
        <is>
          <t>HP404-DEPT01</t>
        </is>
      </c>
      <c r="G17" s="10" t="inlineStr">
        <is>
          <t>Dpto. Sistemas</t>
        </is>
      </c>
      <c r="H17" s="10" t="inlineStr">
        <is>
          <t>Oficina – Edif. C</t>
        </is>
      </c>
      <c r="I17" s="10" t="inlineStr">
        <is>
          <t>Pérez Soto, María</t>
        </is>
      </c>
      <c r="J17" s="10" t="inlineStr">
        <is>
          <t>DEPARTAMENTO</t>
        </is>
      </c>
      <c r="K17" s="10" t="inlineStr">
        <is>
          <t>ACTIVO</t>
        </is>
      </c>
      <c r="L17" s="6" t="inlineStr">
        <is>
          <t>OPERATIVO</t>
        </is>
      </c>
      <c r="M17" s="10" t="inlineStr">
        <is>
          <t>VALIDADO</t>
        </is>
      </c>
      <c r="N17" s="10" t="n">
        <v>1</v>
      </c>
      <c r="O17" s="10" t="inlineStr">
        <is>
          <t>PIEZA</t>
        </is>
      </c>
      <c r="P17" s="11" t="n">
        <v>7800</v>
      </c>
      <c r="Q17" s="12" t="n">
        <v>44503</v>
      </c>
      <c r="R17" s="10" t="inlineStr"/>
    </row>
    <row r="18" ht="15" customHeight="1">
      <c r="A18" s="4" t="inlineStr">
        <is>
          <t>INV-DEPT002</t>
        </is>
      </c>
      <c r="B18" s="5" t="inlineStr">
        <is>
          <t>Escritorio ejecutivo</t>
        </is>
      </c>
      <c r="C18" s="5" t="inlineStr">
        <is>
          <t>MOBILIARIO</t>
        </is>
      </c>
      <c r="D18" s="5" t="inlineStr">
        <is>
          <t>Vantage</t>
        </is>
      </c>
      <c r="E18" s="5" t="inlineStr">
        <is>
          <t>Mod. EJE-160</t>
        </is>
      </c>
      <c r="F18" s="5" t="inlineStr">
        <is>
          <t>—</t>
        </is>
      </c>
      <c r="G18" s="5" t="inlineStr">
        <is>
          <t>Dpto. Sistemas</t>
        </is>
      </c>
      <c r="H18" s="5" t="inlineStr">
        <is>
          <t>Oficina – Edif. C</t>
        </is>
      </c>
      <c r="I18" s="5" t="inlineStr">
        <is>
          <t>Pérez Soto, María</t>
        </is>
      </c>
      <c r="J18" s="5" t="inlineStr">
        <is>
          <t>DEPARTAMENTO</t>
        </is>
      </c>
      <c r="K18" s="5" t="inlineStr">
        <is>
          <t>ACTIVO</t>
        </is>
      </c>
      <c r="L18" s="6" t="inlineStr">
        <is>
          <t>OPERATIVO</t>
        </is>
      </c>
      <c r="M18" s="5" t="inlineStr">
        <is>
          <t>VALIDADO</t>
        </is>
      </c>
      <c r="N18" s="5" t="n">
        <v>1</v>
      </c>
      <c r="O18" s="5" t="inlineStr">
        <is>
          <t>PIEZA</t>
        </is>
      </c>
      <c r="P18" s="7" t="n">
        <v>4500</v>
      </c>
      <c r="Q18" s="8" t="n">
        <v>43480</v>
      </c>
      <c r="R18" s="5" t="inlineStr"/>
    </row>
    <row r="19" ht="15" customHeight="1">
      <c r="A19" s="9" t="inlineStr">
        <is>
          <t>INV-DEPT003</t>
        </is>
      </c>
      <c r="B19" s="10" t="inlineStr">
        <is>
          <t>Silla ergonómica</t>
        </is>
      </c>
      <c r="C19" s="10" t="inlineStr">
        <is>
          <t>MOBILIARIO</t>
        </is>
      </c>
      <c r="D19" s="10" t="inlineStr">
        <is>
          <t>HM</t>
        </is>
      </c>
      <c r="E19" s="10" t="inlineStr">
        <is>
          <t>Ergo Pro</t>
        </is>
      </c>
      <c r="F19" s="10" t="inlineStr">
        <is>
          <t>—</t>
        </is>
      </c>
      <c r="G19" s="10" t="inlineStr">
        <is>
          <t>Dpto. Sistemas</t>
        </is>
      </c>
      <c r="H19" s="10" t="inlineStr">
        <is>
          <t>Oficina – Edif. C</t>
        </is>
      </c>
      <c r="I19" s="10" t="inlineStr">
        <is>
          <t>Pérez Soto, María</t>
        </is>
      </c>
      <c r="J19" s="10" t="inlineStr">
        <is>
          <t>DEPARTAMENTO</t>
        </is>
      </c>
      <c r="K19" s="10" t="inlineStr">
        <is>
          <t>ACTIVO</t>
        </is>
      </c>
      <c r="L19" s="6" t="inlineStr">
        <is>
          <t>OPERATIVO</t>
        </is>
      </c>
      <c r="M19" s="10" t="inlineStr">
        <is>
          <t>VALIDADO</t>
        </is>
      </c>
      <c r="N19" s="10" t="n">
        <v>3</v>
      </c>
      <c r="O19" s="10" t="inlineStr">
        <is>
          <t>PIEZA</t>
        </is>
      </c>
      <c r="P19" s="11" t="n">
        <v>2800</v>
      </c>
      <c r="Q19" s="12" t="n">
        <v>43480</v>
      </c>
      <c r="R19" s="10" t="inlineStr"/>
    </row>
    <row r="20" ht="15" customHeight="1">
      <c r="A20" s="4" t="inlineStr">
        <is>
          <t>INV-LAB04-001</t>
        </is>
      </c>
      <c r="B20" s="5" t="inlineStr">
        <is>
          <t>Laptop MacBook Air</t>
        </is>
      </c>
      <c r="C20" s="5" t="inlineStr">
        <is>
          <t>CÓMPUTO</t>
        </is>
      </c>
      <c r="D20" s="5" t="inlineStr">
        <is>
          <t>Apple</t>
        </is>
      </c>
      <c r="E20" s="5" t="inlineStr">
        <is>
          <t>MacBook Air M2</t>
        </is>
      </c>
      <c r="F20" s="5" t="inlineStr">
        <is>
          <t>APPMA2-001</t>
        </is>
      </c>
      <c r="G20" s="5" t="inlineStr">
        <is>
          <t>Lab. Diseño</t>
        </is>
      </c>
      <c r="H20" s="5" t="inlineStr">
        <is>
          <t>Planta Alta – Edif. B</t>
        </is>
      </c>
      <c r="I20" s="5" t="inlineStr">
        <is>
          <t>Cruz Villanueva, Rosa</t>
        </is>
      </c>
      <c r="J20" s="5" t="inlineStr">
        <is>
          <t>LABORATORIO</t>
        </is>
      </c>
      <c r="K20" s="5" t="inlineStr">
        <is>
          <t>ACTIVO</t>
        </is>
      </c>
      <c r="L20" s="6" t="inlineStr">
        <is>
          <t>OPERATIVO</t>
        </is>
      </c>
      <c r="M20" s="5" t="inlineStr">
        <is>
          <t>VALIDADO</t>
        </is>
      </c>
      <c r="N20" s="5" t="n">
        <v>1</v>
      </c>
      <c r="O20" s="5" t="inlineStr">
        <is>
          <t>PIEZA</t>
        </is>
      </c>
      <c r="P20" s="7" t="n">
        <v>31000</v>
      </c>
      <c r="Q20" s="8" t="n">
        <v>45125</v>
      </c>
      <c r="R20" s="5" t="inlineStr"/>
    </row>
    <row r="21" ht="15" customHeight="1">
      <c r="A21" s="9" t="inlineStr">
        <is>
          <t>INV-LAB04-002</t>
        </is>
      </c>
      <c r="B21" s="10" t="inlineStr">
        <is>
          <t>Tableta digitalizadora</t>
        </is>
      </c>
      <c r="C21" s="10" t="inlineStr">
        <is>
          <t>DISEÑO</t>
        </is>
      </c>
      <c r="D21" s="10" t="inlineStr">
        <is>
          <t>Wacom</t>
        </is>
      </c>
      <c r="E21" s="10" t="inlineStr">
        <is>
          <t>Intuos M</t>
        </is>
      </c>
      <c r="F21" s="10" t="inlineStr">
        <is>
          <t>WC-INTM-002</t>
        </is>
      </c>
      <c r="G21" s="10" t="inlineStr">
        <is>
          <t>Lab. Diseño</t>
        </is>
      </c>
      <c r="H21" s="10" t="inlineStr">
        <is>
          <t>Planta Alta – Edif. B</t>
        </is>
      </c>
      <c r="I21" s="10" t="inlineStr">
        <is>
          <t>Cruz Villanueva, Rosa</t>
        </is>
      </c>
      <c r="J21" s="10" t="inlineStr">
        <is>
          <t>LABORATORIO</t>
        </is>
      </c>
      <c r="K21" s="10" t="inlineStr">
        <is>
          <t>ACTIVO</t>
        </is>
      </c>
      <c r="L21" s="6" t="inlineStr">
        <is>
          <t>OPERATIVO</t>
        </is>
      </c>
      <c r="M21" s="10" t="inlineStr">
        <is>
          <t>VALIDADO</t>
        </is>
      </c>
      <c r="N21" s="10" t="n">
        <v>1</v>
      </c>
      <c r="O21" s="10" t="inlineStr">
        <is>
          <t>PIEZA</t>
        </is>
      </c>
      <c r="P21" s="11" t="n">
        <v>6500</v>
      </c>
      <c r="Q21" s="12" t="n">
        <v>45125</v>
      </c>
      <c r="R21" s="10" t="inlineStr"/>
    </row>
    <row r="22" ht="15" customHeight="1">
      <c r="A22" s="4" t="inlineStr">
        <is>
          <t>INV-LAB04-003</t>
        </is>
      </c>
      <c r="B22" s="5" t="inlineStr">
        <is>
          <t>Cámara DSLR</t>
        </is>
      </c>
      <c r="C22" s="5" t="inlineStr">
        <is>
          <t>AUDIOVISUAL</t>
        </is>
      </c>
      <c r="D22" s="5" t="inlineStr">
        <is>
          <t>Canon</t>
        </is>
      </c>
      <c r="E22" s="5" t="inlineStr">
        <is>
          <t>EOS Rebel SL3</t>
        </is>
      </c>
      <c r="F22" s="5" t="inlineStr">
        <is>
          <t>CN-SL3-003</t>
        </is>
      </c>
      <c r="G22" s="5" t="inlineStr">
        <is>
          <t>Lab. Diseño</t>
        </is>
      </c>
      <c r="H22" s="5" t="inlineStr">
        <is>
          <t>Almacén – Edif. B</t>
        </is>
      </c>
      <c r="I22" s="5" t="inlineStr">
        <is>
          <t>Cruz Villanueva, Rosa</t>
        </is>
      </c>
      <c r="J22" s="5" t="inlineStr">
        <is>
          <t>LABORATORIO</t>
        </is>
      </c>
      <c r="K22" s="5" t="inlineStr">
        <is>
          <t>ACTIVO</t>
        </is>
      </c>
      <c r="L22" s="6" t="inlineStr">
        <is>
          <t>OPERATIVO</t>
        </is>
      </c>
      <c r="M22" s="5" t="inlineStr">
        <is>
          <t>VALIDADO</t>
        </is>
      </c>
      <c r="N22" s="5" t="n">
        <v>1</v>
      </c>
      <c r="O22" s="5" t="inlineStr">
        <is>
          <t>PIEZA</t>
        </is>
      </c>
      <c r="P22" s="7" t="n">
        <v>14200</v>
      </c>
      <c r="Q22" s="8" t="n">
        <v>44816</v>
      </c>
      <c r="R22" s="5" t="inlineStr"/>
    </row>
    <row r="23" ht="15" customHeight="1">
      <c r="A23" s="9" t="inlineStr">
        <is>
          <t>INV-GEN001</t>
        </is>
      </c>
      <c r="B23" s="10" t="inlineStr">
        <is>
          <t>Extintor PQS 6kg</t>
        </is>
      </c>
      <c r="C23" s="10" t="inlineStr">
        <is>
          <t>SEGURIDAD</t>
        </is>
      </c>
      <c r="D23" s="10" t="inlineStr">
        <is>
          <t>Amerex</t>
        </is>
      </c>
      <c r="E23" s="10" t="inlineStr">
        <is>
          <t>B500</t>
        </is>
      </c>
      <c r="F23" s="10" t="inlineStr">
        <is>
          <t>AMX-B500-GEN</t>
        </is>
      </c>
      <c r="G23" s="10" t="inlineStr">
        <is>
          <t>Uso General</t>
        </is>
      </c>
      <c r="H23" s="10" t="inlineStr">
        <is>
          <t>Pasillo principal – Edif. A</t>
        </is>
      </c>
      <c r="I23" s="10" t="inlineStr">
        <is>
          <t>Flores Reyes, Pedro</t>
        </is>
      </c>
      <c r="J23" s="10" t="inlineStr">
        <is>
          <t>DEPARTAMENTO</t>
        </is>
      </c>
      <c r="K23" s="10" t="inlineStr">
        <is>
          <t>ACTIVO</t>
        </is>
      </c>
      <c r="L23" s="6" t="inlineStr">
        <is>
          <t>OPERATIVO</t>
        </is>
      </c>
      <c r="M23" s="10" t="inlineStr">
        <is>
          <t>VALIDADO</t>
        </is>
      </c>
      <c r="N23" s="10" t="n">
        <v>4</v>
      </c>
      <c r="O23" s="10" t="inlineStr">
        <is>
          <t>PIEZA</t>
        </is>
      </c>
      <c r="P23" s="11" t="n">
        <v>950</v>
      </c>
      <c r="Q23" s="12" t="n">
        <v>45301</v>
      </c>
      <c r="R23" s="10" t="inlineStr">
        <is>
          <t>Recargar en ene-2025</t>
        </is>
      </c>
    </row>
    <row r="24">
      <c r="A24" s="15" t="inlineStr">
        <is>
          <t>TOTALES</t>
        </is>
      </c>
      <c r="N24" s="16">
        <f>SUM(N4:N23)</f>
        <v/>
      </c>
      <c r="P24" s="17">
        <f>SUMPRODUCT(N4:N23,P4:P23)</f>
        <v/>
      </c>
    </row>
  </sheetData>
  <autoFilter ref="A3:R23"/>
  <mergeCells count="3">
    <mergeCell ref="A2:R2"/>
    <mergeCell ref="A24:M24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6" customWidth="1" min="3" max="3"/>
    <col width="20" customWidth="1" min="4" max="4"/>
    <col width="12" customWidth="1" min="5" max="5"/>
    <col width="28" customWidth="1" min="6" max="6"/>
  </cols>
  <sheetData>
    <row r="1" ht="26" customHeight="1">
      <c r="A1" s="18" t="inlineStr">
        <is>
          <t>UBICACIONES DE INVENTARIO – LabControl UTECAN</t>
        </is>
      </c>
    </row>
    <row r="2" ht="22" customHeight="1">
      <c r="A2" s="19" t="inlineStr">
        <is>
          <t>ID</t>
        </is>
      </c>
      <c r="B2" s="19" t="inlineStr">
        <is>
          <t>Nombre Ubicación</t>
        </is>
      </c>
      <c r="C2" s="19" t="inlineStr">
        <is>
          <t>Tipo</t>
        </is>
      </c>
      <c r="D2" s="19" t="inlineStr">
        <is>
          <t>Edificio</t>
        </is>
      </c>
      <c r="E2" s="19" t="inlineStr">
        <is>
          <t>Piso</t>
        </is>
      </c>
      <c r="F2" s="19" t="inlineStr">
        <is>
          <t>Departamento</t>
        </is>
      </c>
    </row>
    <row r="3" ht="15" customHeight="1">
      <c r="A3" s="10" t="n">
        <v>1</v>
      </c>
      <c r="B3" s="10" t="inlineStr">
        <is>
          <t>Planta Baja – Edif. A</t>
        </is>
      </c>
      <c r="C3" s="10" t="inlineStr">
        <is>
          <t>LABORATORIO</t>
        </is>
      </c>
      <c r="D3" s="10" t="inlineStr">
        <is>
          <t>Edificio A</t>
        </is>
      </c>
      <c r="E3" s="10" t="inlineStr">
        <is>
          <t>PB</t>
        </is>
      </c>
      <c r="F3" s="10" t="inlineStr">
        <is>
          <t>Dpto. Sistemas</t>
        </is>
      </c>
    </row>
    <row r="4" ht="15" customHeight="1">
      <c r="A4" s="5" t="n">
        <v>2</v>
      </c>
      <c r="B4" s="5" t="inlineStr">
        <is>
          <t>Planta Alta – Edif. A</t>
        </is>
      </c>
      <c r="C4" s="5" t="inlineStr">
        <is>
          <t>LABORATORIO</t>
        </is>
      </c>
      <c r="D4" s="5" t="inlineStr">
        <is>
          <t>Edificio A</t>
        </is>
      </c>
      <c r="E4" s="5" t="inlineStr">
        <is>
          <t>PA</t>
        </is>
      </c>
      <c r="F4" s="5" t="inlineStr">
        <is>
          <t>Dpto. Sistemas</t>
        </is>
      </c>
    </row>
    <row r="5" ht="15" customHeight="1">
      <c r="A5" s="10" t="n">
        <v>3</v>
      </c>
      <c r="B5" s="10" t="inlineStr">
        <is>
          <t>Rack de red – Edif. A</t>
        </is>
      </c>
      <c r="C5" s="10" t="inlineStr">
        <is>
          <t>INFRAESTRUCTURA</t>
        </is>
      </c>
      <c r="D5" s="10" t="inlineStr">
        <is>
          <t>Edificio A</t>
        </is>
      </c>
      <c r="E5" s="10" t="inlineStr">
        <is>
          <t>PB</t>
        </is>
      </c>
      <c r="F5" s="10" t="inlineStr">
        <is>
          <t>Dpto. Sistemas</t>
        </is>
      </c>
    </row>
    <row r="6" ht="15" customHeight="1">
      <c r="A6" s="5" t="n">
        <v>4</v>
      </c>
      <c r="B6" s="5" t="inlineStr">
        <is>
          <t>Taller – Edif. B</t>
        </is>
      </c>
      <c r="C6" s="5" t="inlineStr">
        <is>
          <t>LABORATORIO</t>
        </is>
      </c>
      <c r="D6" s="5" t="inlineStr">
        <is>
          <t>Edificio B</t>
        </is>
      </c>
      <c r="E6" s="5" t="inlineStr">
        <is>
          <t>PB</t>
        </is>
      </c>
      <c r="F6" s="5" t="inlineStr">
        <is>
          <t>Dpto. Ingeniería</t>
        </is>
      </c>
    </row>
    <row r="7" ht="15" customHeight="1">
      <c r="A7" s="10" t="n">
        <v>5</v>
      </c>
      <c r="B7" s="10" t="inlineStr">
        <is>
          <t>Planta Alta – Edif. B</t>
        </is>
      </c>
      <c r="C7" s="10" t="inlineStr">
        <is>
          <t>LABORATORIO</t>
        </is>
      </c>
      <c r="D7" s="10" t="inlineStr">
        <is>
          <t>Edificio B</t>
        </is>
      </c>
      <c r="E7" s="10" t="inlineStr">
        <is>
          <t>PA</t>
        </is>
      </c>
      <c r="F7" s="10" t="inlineStr">
        <is>
          <t>Dpto. Diseño</t>
        </is>
      </c>
    </row>
    <row r="8" ht="15" customHeight="1">
      <c r="A8" s="5" t="n">
        <v>6</v>
      </c>
      <c r="B8" s="5" t="inlineStr">
        <is>
          <t>Almacén – Edif. B</t>
        </is>
      </c>
      <c r="C8" s="5" t="inlineStr">
        <is>
          <t>ALMACÉN</t>
        </is>
      </c>
      <c r="D8" s="5" t="inlineStr">
        <is>
          <t>Edificio B</t>
        </is>
      </c>
      <c r="E8" s="5" t="inlineStr">
        <is>
          <t>PB</t>
        </is>
      </c>
      <c r="F8" s="5" t="inlineStr">
        <is>
          <t>Dpto. Diseño</t>
        </is>
      </c>
    </row>
    <row r="9" ht="15" customHeight="1">
      <c r="A9" s="10" t="n">
        <v>7</v>
      </c>
      <c r="B9" s="10" t="inlineStr">
        <is>
          <t>Oficina – Edif. C</t>
        </is>
      </c>
      <c r="C9" s="10" t="inlineStr">
        <is>
          <t>OFICINA</t>
        </is>
      </c>
      <c r="D9" s="10" t="inlineStr">
        <is>
          <t>Edificio C</t>
        </is>
      </c>
      <c r="E9" s="10" t="inlineStr">
        <is>
          <t>PB</t>
        </is>
      </c>
      <c r="F9" s="10" t="inlineStr">
        <is>
          <t>Dpto. Sistemas</t>
        </is>
      </c>
    </row>
    <row r="10" ht="15" customHeight="1">
      <c r="A10" s="5" t="n">
        <v>8</v>
      </c>
      <c r="B10" s="5" t="inlineStr">
        <is>
          <t>Pasillo principal – Edif. A</t>
        </is>
      </c>
      <c r="C10" s="5" t="inlineStr">
        <is>
          <t>ÁREA COMÚN</t>
        </is>
      </c>
      <c r="D10" s="5" t="inlineStr">
        <is>
          <t>Edificio A</t>
        </is>
      </c>
      <c r="E10" s="5" t="inlineStr">
        <is>
          <t>PB</t>
        </is>
      </c>
      <c r="F10" s="5" t="inlineStr">
        <is>
          <t>Uso General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8" customWidth="1" min="4" max="4"/>
  </cols>
  <sheetData>
    <row r="1" ht="26" customHeight="1">
      <c r="A1" s="18" t="inlineStr">
        <is>
          <t>RESUMEN DE INVENTARIO POR CATEGORÍA</t>
        </is>
      </c>
    </row>
    <row r="2" ht="22" customHeight="1">
      <c r="A2" s="19" t="inlineStr">
        <is>
          <t>Categoría</t>
        </is>
      </c>
      <c r="B2" s="19" t="inlineStr">
        <is>
          <t>N° Activos</t>
        </is>
      </c>
      <c r="C2" s="19" t="inlineStr">
        <is>
          <t>Total Cantidad</t>
        </is>
      </c>
      <c r="D2" s="19" t="inlineStr">
        <is>
          <t>Valor Total ($)</t>
        </is>
      </c>
    </row>
    <row r="3" ht="15" customHeight="1">
      <c r="A3" s="10" t="inlineStr">
        <is>
          <t>AUDIOVISUAL</t>
        </is>
      </c>
      <c r="B3" s="10" t="n">
        <v>2</v>
      </c>
      <c r="C3" s="10" t="n">
        <v>2</v>
      </c>
      <c r="D3" s="11" t="n">
        <v>26500</v>
      </c>
    </row>
    <row r="4" ht="15" customHeight="1">
      <c r="A4" s="5" t="inlineStr">
        <is>
          <t>CONSUMIBLE</t>
        </is>
      </c>
      <c r="B4" s="5" t="n">
        <v>1</v>
      </c>
      <c r="C4" s="5" t="n">
        <v>10</v>
      </c>
      <c r="D4" s="7" t="n">
        <v>2500</v>
      </c>
    </row>
    <row r="5" ht="15" customHeight="1">
      <c r="A5" s="10" t="inlineStr">
        <is>
          <t>CÓMPUTO</t>
        </is>
      </c>
      <c r="B5" s="10" t="n">
        <v>7</v>
      </c>
      <c r="C5" s="10" t="n">
        <v>7</v>
      </c>
      <c r="D5" s="11" t="n">
        <v>116800</v>
      </c>
    </row>
    <row r="6" ht="15" customHeight="1">
      <c r="A6" s="5" t="inlineStr">
        <is>
          <t>DISEÑO</t>
        </is>
      </c>
      <c r="B6" s="5" t="n">
        <v>1</v>
      </c>
      <c r="C6" s="5" t="n">
        <v>1</v>
      </c>
      <c r="D6" s="7" t="n">
        <v>6500</v>
      </c>
    </row>
    <row r="7" ht="15" customHeight="1">
      <c r="A7" s="10" t="inlineStr">
        <is>
          <t>IMPRESIÓN</t>
        </is>
      </c>
      <c r="B7" s="10" t="n">
        <v>1</v>
      </c>
      <c r="C7" s="10" t="n">
        <v>1</v>
      </c>
      <c r="D7" s="11" t="n">
        <v>7800</v>
      </c>
    </row>
    <row r="8" ht="15" customHeight="1">
      <c r="A8" s="5" t="inlineStr">
        <is>
          <t>INSTRUMENTACIÓN</t>
        </is>
      </c>
      <c r="B8" s="5" t="n">
        <v>4</v>
      </c>
      <c r="C8" s="5" t="n">
        <v>4</v>
      </c>
      <c r="D8" s="7" t="n">
        <v>20000</v>
      </c>
    </row>
    <row r="9" ht="15" customHeight="1">
      <c r="A9" s="10" t="inlineStr">
        <is>
          <t>MOBILIARIO</t>
        </is>
      </c>
      <c r="B9" s="10" t="n">
        <v>2</v>
      </c>
      <c r="C9" s="10" t="n">
        <v>4</v>
      </c>
      <c r="D9" s="11" t="n">
        <v>12900</v>
      </c>
    </row>
    <row r="10" ht="15" customHeight="1">
      <c r="A10" s="5" t="inlineStr">
        <is>
          <t>RED</t>
        </is>
      </c>
      <c r="B10" s="5" t="n">
        <v>1</v>
      </c>
      <c r="C10" s="5" t="n">
        <v>1</v>
      </c>
      <c r="D10" s="7" t="n">
        <v>8900</v>
      </c>
    </row>
    <row r="11" ht="15" customHeight="1">
      <c r="A11" s="10" t="inlineStr">
        <is>
          <t>SEGURIDAD</t>
        </is>
      </c>
      <c r="B11" s="10" t="n">
        <v>1</v>
      </c>
      <c r="C11" s="10" t="n">
        <v>4</v>
      </c>
      <c r="D11" s="11" t="n">
        <v>3800</v>
      </c>
    </row>
    <row r="12">
      <c r="A12" s="20" t="inlineStr">
        <is>
          <t>TOTAL GENERAL</t>
        </is>
      </c>
      <c r="B12" s="21">
        <f>SUM(B3:B11)</f>
        <v/>
      </c>
      <c r="C12" s="21">
        <f>SUM(C3:C11)</f>
        <v/>
      </c>
      <c r="D12" s="22">
        <f>SUM(D3:D11)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 ht="22" customHeight="1">
      <c r="A1" s="19" t="inlineStr">
        <is>
          <t>ESTADOS DE ACTIVO</t>
        </is>
      </c>
      <c r="B1" s="19" t="inlineStr">
        <is>
          <t>ESTADOS ADMINISTRATIVOS</t>
        </is>
      </c>
      <c r="C1" s="19" t="inlineStr">
        <is>
          <t>TIPOS DE ALCANCE</t>
        </is>
      </c>
      <c r="D1" s="19" t="inlineStr">
        <is>
          <t>TIPOS DE ACTIVO</t>
        </is>
      </c>
    </row>
    <row r="2" ht="15" customHeight="1">
      <c r="A2" s="6" t="inlineStr">
        <is>
          <t>OPERATIVO</t>
        </is>
      </c>
      <c r="B2" s="10" t="inlineStr">
        <is>
          <t>BORRADOR</t>
        </is>
      </c>
      <c r="C2" s="10" t="inlineStr">
        <is>
          <t>LABORATORIO</t>
        </is>
      </c>
      <c r="D2" s="10" t="inlineStr">
        <is>
          <t>ACTIVO</t>
        </is>
      </c>
    </row>
    <row r="3" ht="15" customHeight="1">
      <c r="A3" s="13" t="inlineStr">
        <is>
          <t>MANTENIMIENTO</t>
        </is>
      </c>
      <c r="B3" s="13" t="inlineStr">
        <is>
          <t>EN_REVISION</t>
        </is>
      </c>
      <c r="C3" s="10" t="inlineStr">
        <is>
          <t>DEPARTAMENTO</t>
        </is>
      </c>
      <c r="D3" s="10" t="inlineStr">
        <is>
          <t>CONSUMIBLE</t>
        </is>
      </c>
    </row>
    <row r="4" ht="15" customHeight="1">
      <c r="A4" s="14" t="inlineStr">
        <is>
          <t>FUERA DE SERVICIO</t>
        </is>
      </c>
      <c r="B4" s="13" t="inlineStr">
        <is>
          <t>OBSERVADO</t>
        </is>
      </c>
      <c r="D4" s="10" t="inlineStr">
        <is>
          <t>HERRAMIENTA</t>
        </is>
      </c>
    </row>
    <row r="5" ht="15" customHeight="1">
      <c r="A5" s="14" t="inlineStr">
        <is>
          <t>DADO DE BAJA</t>
        </is>
      </c>
      <c r="B5" s="6" t="inlineStr">
        <is>
          <t>VALIDADO</t>
        </is>
      </c>
    </row>
    <row r="6" ht="15" customHeight="1">
      <c r="B6" s="14" t="inlineStr">
        <is>
          <t>RECHAZADO</t>
        </is>
      </c>
    </row>
    <row r="7" ht="15" customHeight="1">
      <c r="B7" s="14" t="inlineStr">
        <is>
          <t>BAJA_SOLICITADA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2026-06-04T13:48:27Z</dcterms:created>
  <dcterms:modified xmlns:dcterms="http://purl.org/dc/terms/" xmlns:xsi="http://www.w3.org/2001/XMLSchema-instance" xsi:type="dcterms:W3CDTF">2026-06-04T13:48:27Z</dcterms:modified>
</cp:coreProperties>
</file>